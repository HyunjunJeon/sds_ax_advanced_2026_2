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jhj/Desktop/sds_ax_advanced_class/Day05/"/>
    </mc:Choice>
  </mc:AlternateContent>
  <xr:revisionPtr revIDLastSave="0" documentId="13_ncr:1_{31683F99-C874-4349-8B9A-5380605C4A05}" xr6:coauthVersionLast="47" xr6:coauthVersionMax="47" xr10:uidLastSave="{00000000-0000-0000-0000-000000000000}"/>
  <bookViews>
    <workbookView xWindow="53020" yWindow="14420" windowWidth="44520" windowHeight="24340" activeTab="1" xr2:uid="{00000000-000D-0000-FFFF-FFFF00000000}"/>
  </bookViews>
  <sheets>
    <sheet name="시작 안내" sheetId="1" r:id="rId1"/>
    <sheet name="작성 예시" sheetId="2" r:id="rId2"/>
    <sheet name="전문가 검수" sheetId="3" r:id="rId3"/>
    <sheet name="피드백 반영" sheetId="4" r:id="rId4"/>
    <sheet name="원문 근거" sheetId="5" r:id="rId5"/>
  </sheets>
  <definedNames>
    <definedName name="_xlnm._FilterDatabase" localSheetId="4" hidden="1">'원문 근거'!$A$7:$D$13</definedName>
    <definedName name="_xlnm._FilterDatabase" localSheetId="1" hidden="1">'작성 예시'!$A$7:$G$11</definedName>
    <definedName name="_xlnm._FilterDatabase" localSheetId="2" hidden="1">'전문가 검수'!$A$7:$G$17</definedName>
    <definedName name="_xlnm._FilterDatabase" localSheetId="3" hidden="1">'피드백 반영'!$A$7:$H$17</definedName>
    <definedName name="ChangeChoices">'시작 안내'!$A$29:$A$34</definedName>
    <definedName name="_xlnm.Print_Area" localSheetId="0">'시작 안내'!$A$1:$L$37</definedName>
    <definedName name="_xlnm.Print_Area" localSheetId="4">'원문 근거'!$A$1:$D$16</definedName>
    <definedName name="_xlnm.Print_Area" localSheetId="1">'작성 예시'!$A$1:$G$14</definedName>
    <definedName name="_xlnm.Print_Area" localSheetId="2">'전문가 검수'!$A$1:$G$20</definedName>
    <definedName name="_xlnm.Print_Area" localSheetId="3">'피드백 반영'!$A$1:$H$20</definedName>
    <definedName name="_xlnm.Print_Titles" localSheetId="0">'시작 안내'!$1:$3</definedName>
    <definedName name="_xlnm.Print_Titles" localSheetId="4">'원문 근거'!$1:$7</definedName>
    <definedName name="_xlnm.Print_Titles" localSheetId="1">'작성 예시'!$1:$7</definedName>
    <definedName name="_xlnm.Print_Titles" localSheetId="2">'전문가 검수'!$1:$7</definedName>
    <definedName name="_xlnm.Print_Titles" localSheetId="3">'피드백 반영'!$1:$7</definedName>
    <definedName name="ReviewChoices">'시작 안내'!$A$23:$A$26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4" l="1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C8" i="4"/>
  <c r="B8" i="4"/>
  <c r="I19" i="1"/>
  <c r="E19" i="1"/>
  <c r="A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7" authorId="0" shapeId="0" xr:uid="{00000000-0006-0000-0100-000001000000}">
      <text>
        <r>
          <rPr>
            <sz val="11"/>
            <color theme="1"/>
            <rFont val="맑은 고딕"/>
            <family val="2"/>
            <scheme val="minor"/>
          </rPr>
          <t>수정 필요·문서로 판단 불가·질문 부적절인데 의견이 없으면 노란색으로 표시합니다. 자동 정답 판정은 아닙니다.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7" authorId="0" shapeId="0" xr:uid="{00000000-0006-0000-0200-000001000000}">
      <text>
        <r>
          <rPr>
            <sz val="11"/>
            <color theme="1"/>
            <rFont val="맑은 고딕"/>
            <family val="2"/>
            <scheme val="minor"/>
          </rPr>
          <t>수정 필요·문서로 판단 불가·질문 부적절인데 의견이 없으면 노란색으로 표시합니다. 자동 정답 판정은 아닙니다.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7" authorId="0" shapeId="0" xr:uid="{00000000-0006-0000-0300-000001000000}">
      <text>
        <r>
          <rPr>
            <sz val="11"/>
            <color theme="1"/>
            <rFont val="맑은 고딕"/>
            <family val="2"/>
            <scheme val="minor"/>
          </rPr>
          <t>전문가 검수의 동일 항목 ID를 찾아 판정을 표시합니다. 행 정렬 순서에 의존하지 않습니다. 이 표는 현재 값과 연결되므로 검수 회차별 원본은 복사해 보관하세요.</t>
        </r>
      </text>
    </comment>
  </commentList>
</comments>
</file>

<file path=xl/sharedStrings.xml><?xml version="1.0" encoding="utf-8"?>
<sst xmlns="http://schemas.openxmlformats.org/spreadsheetml/2006/main" count="163" uniqueCount="140">
  <si>
    <t>전문가 피드백 · 기본 양식</t>
  </si>
  <si>
    <t>질문과 답변을 읽고, 부족한 점을 짧게 남겨 주세요. 전체 정답을 새로 작성할 필요는 없습니다.</t>
  </si>
  <si>
    <t>업무 범위</t>
  </si>
  <si>
    <t>문서·버전</t>
  </si>
  <si>
    <t>담당자(owner)</t>
  </si>
  <si>
    <t>검수일</t>
  </si>
  <si>
    <t>답변·실행 버전</t>
  </si>
  <si>
    <t>01  사용하는 순서</t>
  </si>
  <si>
    <t>1  원본을 복사해 사용합니다. 이 표 위의 업무 범위·문서 버전·담당자·날짜를 먼저 채웁니다.</t>
  </si>
  <si>
    <t>2  ‘작성 예시’에서 판정과 의견을 읽습니다. 예시의 질문·답변·피드백은 모두 교육용 가상 자료입니다.</t>
  </si>
  <si>
    <t>3  개발자가 ‘전문가 검수’의 회색 칸에 질문·답변·원문을 준비합니다. 처음에는 5~10건으로 시작하세요.</t>
  </si>
  <si>
    <t>4  전문가는 초록색 칸의 판정과 의견을 입력합니다. 문제가 없다면 판정만, 수정·판단 불가라면 이유를 짧게 남깁니다.</t>
  </si>
  <si>
    <t>5  개발자가 ‘피드백 반영’을 작성한 뒤 전문가에게 재확인받습니다. 이전 답변과 피드백은 보존합니다.</t>
  </si>
  <si>
    <t>초록: 직접 입력할 검수·반영 내용</t>
  </si>
  <si>
    <t>02  검수 진행 현황 · 예시 제외</t>
  </si>
  <si>
    <t>질문 수</t>
  </si>
  <si>
    <t>판정 입력</t>
  </si>
  <si>
    <t>미검수</t>
  </si>
  <si>
    <t>03  판정 선택 기준</t>
  </si>
  <si>
    <t>문제없음</t>
  </si>
  <si>
    <t>원문과 상황에 맞는 답변입니다. 추가 의견은 선택입니다.</t>
  </si>
  <si>
    <t>수정 필요</t>
  </si>
  <si>
    <t>틀린 사실·빠진 조건·현업 예외를 짧게 남겨 주세요.</t>
  </si>
  <si>
    <t>문서로 판단 불가</t>
  </si>
  <si>
    <t>문서에 근거가 없거나 서로 충돌합니다. 추가 확인할 사항을 적어 주세요.</t>
  </si>
  <si>
    <t>질문 부적절</t>
  </si>
  <si>
    <t>업무 범위 밖이거나 상황이 성립하지 않습니다. 이유나 더 나은 질문을 적어 주세요.</t>
  </si>
  <si>
    <t>04  개발자가 피드백을 반영하는 유형</t>
  </si>
  <si>
    <t>문서 보완</t>
  </si>
  <si>
    <t>누락된 정책·예외를 업무 담당자에게 확인합니다.</t>
  </si>
  <si>
    <t>답변 조건 수정</t>
  </si>
  <si>
    <t>원문에 맞는 필수 조건·안내 내용을 고칩니다.</t>
  </si>
  <si>
    <t>도구·업무 규칙 수정</t>
  </si>
  <si>
    <t>대상·처리 순서·금액·실제 상태를 확인하고 수정합니다.</t>
  </si>
  <si>
    <t>질문 수정</t>
  </si>
  <si>
    <t>고객 상황을 구체화하고 새 질문에 다시 답하게 합니다.</t>
  </si>
  <si>
    <t>추가 확인</t>
  </si>
  <si>
    <t>판단할 수 없는 사항과 확인할 담당자를 기록합니다.</t>
  </si>
  <si>
    <t>반영 보류</t>
  </si>
  <si>
    <t>의견을 바로 반영할 수 없는 이유와 다음 조치를 적습니다.</t>
  </si>
  <si>
    <t>예시 판정·의견 · 복사해 승인하지 않기</t>
  </si>
  <si>
    <t>출처는 문서명·버전·기준일·페이지나 절과 함께 남깁니다. 공통 담당자와 날짜는 ‘시작 안내’ 상단에 입력하세요.</t>
  </si>
  <si>
    <t>항목 ID</t>
  </si>
  <si>
    <t>질문과 상황</t>
  </si>
  <si>
    <t>AI 답변 · 가상 예시</t>
  </si>
  <si>
    <t>원문 근거</t>
  </si>
  <si>
    <t>판정</t>
  </si>
  <si>
    <t>부족한 점·수정 의견</t>
  </si>
  <si>
    <t>필수 조건·바람직한 답변
(선택)</t>
  </si>
  <si>
    <t>예시-01</t>
  </si>
  <si>
    <t>고객이 주문 번호 없이 ‘주문을 취소하고 싶어요’라고 문의했습니다.</t>
  </si>
  <si>
    <t>취소할 주문 번호를 알려 주세요. 번호를 확인한 뒤 취소 가능 여부를 확인하겠습니다.</t>
  </si>
  <si>
    <t>P1 · order-policy-v1
주문 번호가 없거나 존재하지 않으면 확인 질문을 한다.
원문 근거 시트 P1 참조.</t>
  </si>
  <si>
    <t>주문 번호 확인 전에 처리를 완료했다고 안내하지 않습니다.</t>
  </si>
  <si>
    <t>예시-02</t>
  </si>
  <si>
    <t>취소 처리 중 환불 요청이 TIMEOUT을 반환했습니다. 바로 다시 환불해도 될까요?</t>
  </si>
  <si>
    <t>환불이 실패했으니 바로 다시 요청하겠습니다.</t>
  </si>
  <si>
    <t>P4 · order-policy-v1
TIMEOUT은 결과 미확정이다. 결제 원장을 조회해 처리 여부를 확인한다.
원문 근거 시트 P4 참조.</t>
  </si>
  <si>
    <t>응답만 유실됐을 수 있습니다. 원장을 조회하고 이미 환불됐다면 다시 요청하지 않아야 합니다.</t>
  </si>
  <si>
    <t>결과 조회 선행. 미처리일 때만 같은 멱등 키로 한도 내 재시도합니다.</t>
  </si>
  <si>
    <t>예시-03</t>
  </si>
  <si>
    <t>결제 원장에 환불이 기록되면 카드 명세서에는 정확히 며칠 뒤 표시되나요?</t>
  </si>
  <si>
    <t>3영업일 안에 반드시 표시됩니다.</t>
  </si>
  <si>
    <t>정책 서문 · order-policy-v1
환불 완료는 원장 등록을 뜻하며 카드사 정산 완료를 의미하지 않는다.
원문 근거 시트 서문 참조.</t>
  </si>
  <si>
    <t>이 문서에는 카드사별 반영 기한이 없습니다. 기한의 근거를 확인하고 확정해서 안내하지 마세요.</t>
  </si>
  <si>
    <t>원장 등록과 카드사 반영을 구분합니다. 추가 확인할 담당자나 문서가 필요합니다.</t>
  </si>
  <si>
    <t>예시-04</t>
  </si>
  <si>
    <t>주문 취소 정책을 검토하는데 ‘내일 날씨가 어떤가요?’라는 질문이 포함됐습니다.</t>
  </si>
  <si>
    <t>내일은 맑겠습니다.</t>
  </si>
  <si>
    <t>문서 범위: 주문 취소·환불·재고 처리
Day05/business_lab/data/order_policy.md:1</t>
  </si>
  <si>
    <t>주문 취소 업무 범위에 해당하지 않습니다. 실제 취소 문의로 질문을 바꾸고 다시 답변을 생성해 주세요.</t>
  </si>
  <si>
    <t>예시-02의 후속 처리 예시: ‘도구·업무 규칙 수정’으로 분류 → 원장 조회 선행 기준 정리 → 수정한 답변·실제 동작을 재확인. 재검수 판정은 실제 검토 전까지 비웁니다.</t>
  </si>
  <si>
    <t>개발자가 질문·답변·원문을 준비한 뒤 전문가에게 전달합니다. 판정과 의견은 직접 검토한 뒤 입력하세요.</t>
  </si>
  <si>
    <t>개발자가 준비 · 실제 답변은 실행 버전과 함께 보존</t>
  </si>
  <si>
    <t>전문가 입력 · 빈 판정은 미검수</t>
  </si>
  <si>
    <t>검수할 AI 답변</t>
  </si>
  <si>
    <t>Q-001</t>
  </si>
  <si>
    <t>Q-002</t>
  </si>
  <si>
    <t>Q-003</t>
  </si>
  <si>
    <t>Q-004</t>
  </si>
  <si>
    <t>Q-005</t>
  </si>
  <si>
    <t>Q-006</t>
  </si>
  <si>
    <t>Q-007</t>
  </si>
  <si>
    <t>Q-008</t>
  </si>
  <si>
    <t>Q-009</t>
  </si>
  <si>
    <t>Q-010</t>
  </si>
  <si>
    <t>새 질문이나 질문 수정안은 의견 칸에 적어도 됩니다. 개발자는 기존 답변을 보존하고, 변경된 질문에 다시 답변을 생성합니다.</t>
  </si>
  <si>
    <t>피드백 반영 · 변경과 재확인을 연결</t>
  </si>
  <si>
    <t>받은 판정·의견은 항목 ID로 연결됩니다. 개발자는 반영 내용을 쓰고, 전문가는 변경된 답변을 다시 검토합니다.</t>
  </si>
  <si>
    <t>자동 연결 · 전문가의 원래 판정과 의견</t>
  </si>
  <si>
    <t>개발자가 반영 내용 준비</t>
  </si>
  <si>
    <t>전문가 재확인</t>
  </si>
  <si>
    <t>검수할 새 답변은 버전과 함께 기록하세요. 미해결 의견과 이전 답변을 지우지 않습니다.</t>
  </si>
  <si>
    <t>받은 판정</t>
  </si>
  <si>
    <t>받은 의견</t>
  </si>
  <si>
    <t>반영 유형</t>
  </si>
  <si>
    <t>변경 내용·확인 근거</t>
  </si>
  <si>
    <t>재검수할 답변·버전</t>
  </si>
  <si>
    <t>재검수 판정</t>
  </si>
  <si>
    <t>남은 문제·다음 조치</t>
  </si>
  <si>
    <t>판정은 사람이 직접 남깁니다. ‘문제없음’ 재검수도 업무 Scenario 승인·Agent 전체 성공과는 별도로 확인합니다.</t>
  </si>
  <si>
    <t>원문 근거 · 주문 취소 교육용 정책</t>
  </si>
  <si>
    <t>가상 예시를 대조할 원문 발췌입니다. 실제 전문가 검수에는 전달받은 문서와 적용 범위를 확인해 사용하세요.</t>
  </si>
  <si>
    <t>버전: order-policy-v1</t>
  </si>
  <si>
    <t>교육용 가상 정책 · 실제 회사의 승인 기록이 아닙니다.</t>
  </si>
  <si>
    <t>근거 ID</t>
  </si>
  <si>
    <t>주제</t>
  </si>
  <si>
    <t>원문 발췌</t>
  </si>
  <si>
    <t>출처 · 파일:줄</t>
  </si>
  <si>
    <t>서문</t>
  </si>
  <si>
    <t>환불 완료의 의미</t>
  </si>
  <si>
    <t>모든 금액은 예제 결제 API의 USD 정수 센트다. 환불 완료는 결제 원장에 등록됐다는 뜻이며,
카드사 정산 완료까지 의미하지 않는다.</t>
  </si>
  <si>
    <t>Day05/business_lab/data/order_policy.md:5
정책 버전: order-policy-v1</t>
  </si>
  <si>
    <t>P1</t>
  </si>
  <si>
    <t>고객과 대상</t>
  </si>
  <si>
    <t>인증 고객은 서버 환경에서 결정한다. 모델이 고객 ID를 바꿔 권한을 얻을 수 없다.
본인 주문만 조회·처리한다. 주문 번호가 없거나 존재하지 않으면 확인 질문을 한다.
다른 고객의 주문은 거절하고, 주문·결제·재고를 변경하지 않는다.</t>
  </si>
  <si>
    <t>Day05/business_lab/data/order_policy.md:10
정책 버전: order-policy-v1</t>
  </si>
  <si>
    <t>P2</t>
  </si>
  <si>
    <t>취소 가능 상태</t>
  </si>
  <si>
    <t>`paid` 주문만 취소를 시작할 수 있다. `cancelling` 주문은 부분 완료 상태를 조회해 이어서 처리한다.
`shipped` 주문은 거절한다. `cancelled` 주문은 상태만 확인하며 환불·재고 복원을 다시 시도하지 않는다.
취소 시작에는 마지막으로 조회한 version을 보내며, 충돌 시 재조회·정책 재확인 후 판단한다.
다른 작업자가 출고한 변경은 되돌리지 않는다.</t>
  </si>
  <si>
    <t>Day05/business_lab/data/order_policy.md:16
정책 버전: order-policy-v1</t>
  </si>
  <si>
    <t>P3</t>
  </si>
  <si>
    <t>부분 완료·보호 상태</t>
  </si>
  <si>
    <t>취소 시작 → 잔여 결제액 환불 → 예약 재고 복원 → 주문 취소 완료 순서로 처리한다.
각 서비스 호출은 따로 커밋된다. 중간 실패를 전체 롤백한 것처럼 해석하지 않는다.
완료 조건은 주문 `cancelled`, 전액 환불 기록, 주문 수량만큼 재고가 정확히 한 번 복원된 상태다.
다른 주문, 다른 고객의 결제, 주문 금액·통화·수량, 다른 상품 재고는 보호 상태다.</t>
  </si>
  <si>
    <t>Day05/business_lab/data/order_policy.md:23
정책 버전: order-policy-v1</t>
  </si>
  <si>
    <t>P4</t>
  </si>
  <si>
    <t>TIMEOUT·멱등성</t>
  </si>
  <si>
    <t>환불 TIMEOUT은 결과 미확정이다. 결제 원장을 조회해 처리 여부를 확인한 뒤 다음 행동을 정한다.
미처리가 확인되면 같은 요청의 같은 멱등 키로 재시도한다. 환불 시도 한도는 2회다.
이미 환불이 처리됐다면 추가 환불을 요청하지 않고 나머지 단계를 수행한다.
한도 내 해결하지 못하면 현재 부분 완료 상태를 보존하고 업무 티켓으로 담당자에게 넘긴다.
재고 복원도 주문 단위로 멱등적이어야 한다.</t>
  </si>
  <si>
    <t>Day05/business_lab/data/order_policy.md:30
정책 버전: order-policy-v1</t>
  </si>
  <si>
    <t>P5</t>
  </si>
  <si>
    <t>최종 안내</t>
  </si>
  <si>
    <t>완료는 최종 주문 조회로 확인한 뒤 안내한다. 부분 완료·미확정·거절을 완료라고 말하지 않는다.
미완료라면 현재 상황과 담당자의 후속 확인을 안내한다. 원장에 기록된 환불 금액만 말한다.
응답의 구조화 필드와 자유 문장은 각각 코드 검사와 Judge/사람 검토로 확인한다.</t>
  </si>
  <si>
    <t>Day05/business_lab/data/order_policy.md:38
정책 버전: order-policy-v1</t>
  </si>
  <si>
    <t>운영안: Day05/docs/expert_feedback_workflow.md
수업 진행안: Day05/docs/02_teaching_guide.md</t>
  </si>
  <si>
    <t>사례 건 · 판정별 작성 방식</t>
    <phoneticPr fontId="13" type="noConversion"/>
  </si>
  <si>
    <t>작성 예시</t>
    <phoneticPr fontId="13" type="noConversion"/>
  </si>
  <si>
    <t>AI 답변과 판정·의견은 작성 방법을 보여 주기 위한  예시입니다. 실제 검수 결과로 사용하지 않습니다.</t>
    <phoneticPr fontId="13" type="noConversion"/>
  </si>
  <si>
    <t>기준일</t>
    <phoneticPr fontId="13" type="noConversion"/>
  </si>
  <si>
    <t>회색: 개발자가 준비한 읽을 자료</t>
    <phoneticPr fontId="13" type="noConversion"/>
  </si>
  <si>
    <t>전문가 검수 양식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</si>
</sst>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&quot;건&quot;"/>
  </numFmts>
  <fonts count="14">
    <font>
      <sz val="11"/>
      <color theme="1"/>
      <name val="맑은 고딕"/>
      <family val="2"/>
      <scheme val="minor"/>
    </font>
    <font>
      <sz val="11"/>
      <color rgb="FF203246"/>
      <name val="맑은 고딕"/>
      <family val="2"/>
      <charset val="129"/>
    </font>
    <font>
      <b/>
      <sz val="21"/>
      <color rgb="FFFFFFFF"/>
      <name val="맑은 고딕"/>
      <family val="2"/>
      <charset val="129"/>
    </font>
    <font>
      <sz val="11"/>
      <color rgb="FF526478"/>
      <name val="맑은 고딕"/>
      <family val="2"/>
      <charset val="129"/>
    </font>
    <font>
      <b/>
      <sz val="11"/>
      <color rgb="FF203246"/>
      <name val="맑은 고딕"/>
      <family val="2"/>
      <charset val="129"/>
    </font>
    <font>
      <b/>
      <sz val="12"/>
      <color rgb="FFFFFFFF"/>
      <name val="맑은 고딕"/>
      <family val="2"/>
      <charset val="129"/>
    </font>
    <font>
      <sz val="11"/>
      <color rgb="FF136F63"/>
      <name val="맑은 고딕"/>
      <family val="2"/>
      <charset val="129"/>
    </font>
    <font>
      <sz val="24"/>
      <color rgb="FF136F63"/>
      <name val="맑은 고딕"/>
      <family val="2"/>
      <charset val="129"/>
    </font>
    <font>
      <sz val="10"/>
      <color rgb="FF526478"/>
      <name val="맑은 고딕"/>
      <family val="2"/>
      <charset val="129"/>
    </font>
    <font>
      <b/>
      <sz val="11"/>
      <color rgb="FF136F63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11"/>
      <color rgb="FF145F54"/>
      <name val="맑은 고딕"/>
      <family val="2"/>
      <charset val="129"/>
    </font>
    <font>
      <sz val="10"/>
      <color rgb="FF203246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0F4F8"/>
      </patternFill>
    </fill>
    <fill>
      <patternFill patternType="solid">
        <fgColor rgb="FFEAF6F1"/>
      </patternFill>
    </fill>
    <fill>
      <patternFill patternType="solid">
        <fgColor rgb="FF136F63"/>
      </patternFill>
    </fill>
    <fill>
      <patternFill patternType="solid">
        <fgColor rgb="FFDBF0E5"/>
      </patternFill>
    </fill>
    <fill>
      <patternFill patternType="solid">
        <fgColor rgb="FFFFF0CB"/>
      </patternFill>
    </fill>
    <fill>
      <patternFill patternType="solid">
        <fgColor rgb="FFEDE5F7"/>
      </patternFill>
    </fill>
    <fill>
      <patternFill patternType="solid">
        <fgColor rgb="FFE4EAF0"/>
      </patternFill>
    </fill>
    <fill>
      <patternFill patternType="solid">
        <fgColor rgb="FFF7F9FB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3EA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top" wrapText="1"/>
    </xf>
    <xf numFmtId="0" fontId="10" fillId="2" borderId="0" xfId="0" applyFont="1" applyFill="1" applyAlignment="1">
      <alignment vertical="center" wrapText="1"/>
    </xf>
    <xf numFmtId="0" fontId="1" fillId="10" borderId="1" xfId="0" applyFont="1" applyFill="1" applyBorder="1" applyAlignment="1">
      <alignment vertical="top" wrapText="1"/>
    </xf>
    <xf numFmtId="0" fontId="11" fillId="4" borderId="1" xfId="0" applyFont="1" applyFill="1" applyBorder="1" applyAlignment="1">
      <alignment vertical="top" wrapText="1"/>
    </xf>
    <xf numFmtId="176" fontId="1" fillId="0" borderId="0" xfId="0" applyNumberFormat="1" applyFont="1" applyAlignment="1">
      <alignment vertical="top" wrapText="1"/>
    </xf>
    <xf numFmtId="0" fontId="4" fillId="3" borderId="0" xfId="0" applyFont="1" applyFill="1" applyAlignment="1">
      <alignment horizontal="left" vertical="center" wrapText="1"/>
    </xf>
    <xf numFmtId="0" fontId="0" fillId="3" borderId="0" xfId="0" applyFill="1"/>
    <xf numFmtId="0" fontId="12" fillId="3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0" fillId="2" borderId="0" xfId="0" applyFill="1"/>
    <xf numFmtId="0" fontId="3" fillId="3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/>
    <xf numFmtId="0" fontId="9" fillId="4" borderId="0" xfId="0" applyFont="1" applyFill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0" fillId="5" borderId="0" xfId="0" applyFill="1"/>
    <xf numFmtId="177" fontId="7" fillId="3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left" vertical="center" wrapText="1"/>
    </xf>
    <xf numFmtId="0" fontId="0" fillId="9" borderId="0" xfId="0" applyFill="1"/>
    <xf numFmtId="0" fontId="4" fillId="8" borderId="0" xfId="0" applyFont="1" applyFill="1" applyAlignment="1">
      <alignment horizontal="left" vertical="center" wrapText="1"/>
    </xf>
    <xf numFmtId="0" fontId="0" fillId="8" borderId="0" xfId="0" applyFill="1"/>
    <xf numFmtId="0" fontId="4" fillId="7" borderId="0" xfId="0" applyFont="1" applyFill="1" applyAlignment="1">
      <alignment horizontal="left" vertical="center" wrapText="1"/>
    </xf>
    <xf numFmtId="0" fontId="0" fillId="7" borderId="0" xfId="0" applyFill="1"/>
    <xf numFmtId="176" fontId="1" fillId="4" borderId="0" xfId="0" applyNumberFormat="1" applyFont="1" applyFill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0" fillId="6" borderId="0" xfId="0" applyFill="1"/>
  </cellXfs>
  <cellStyles count="1">
    <cellStyle name="표준" xfId="0" builtinId="0"/>
  </cellStyles>
  <dxfs count="19">
    <dxf>
      <fill>
        <patternFill patternType="solid">
          <fgColor rgb="FFFFF0CB"/>
        </patternFill>
      </fill>
    </dxf>
    <dxf>
      <fill>
        <patternFill patternType="solid">
          <fgColor rgb="FFE4EAF0"/>
        </patternFill>
      </fill>
    </dxf>
    <dxf>
      <fill>
        <patternFill patternType="solid">
          <fgColor rgb="FFEDE5F7"/>
        </patternFill>
      </fill>
    </dxf>
    <dxf>
      <fill>
        <patternFill patternType="solid">
          <fgColor rgb="FFFFF0CB"/>
        </patternFill>
      </fill>
    </dxf>
    <dxf>
      <fill>
        <patternFill patternType="solid">
          <fgColor rgb="FFDBF0E5"/>
        </patternFill>
      </fill>
    </dxf>
    <dxf>
      <fill>
        <patternFill patternType="solid">
          <fgColor rgb="FFE4EAF0"/>
        </patternFill>
      </fill>
    </dxf>
    <dxf>
      <fill>
        <patternFill patternType="solid">
          <fgColor rgb="FFEDE5F7"/>
        </patternFill>
      </fill>
    </dxf>
    <dxf>
      <fill>
        <patternFill patternType="solid">
          <fgColor rgb="FFFFF0CB"/>
        </patternFill>
      </fill>
    </dxf>
    <dxf>
      <fill>
        <patternFill patternType="solid">
          <fgColor rgb="FFDBF0E5"/>
        </patternFill>
      </fill>
    </dxf>
    <dxf>
      <fill>
        <patternFill patternType="solid">
          <fgColor rgb="FFFFF0CB"/>
        </patternFill>
      </fill>
    </dxf>
    <dxf>
      <fill>
        <patternFill patternType="solid">
          <fgColor rgb="FFE4EAF0"/>
        </patternFill>
      </fill>
    </dxf>
    <dxf>
      <fill>
        <patternFill patternType="solid">
          <fgColor rgb="FFEDE5F7"/>
        </patternFill>
      </fill>
    </dxf>
    <dxf>
      <fill>
        <patternFill patternType="solid">
          <fgColor rgb="FFFFF0CB"/>
        </patternFill>
      </fill>
    </dxf>
    <dxf>
      <fill>
        <patternFill patternType="solid">
          <fgColor rgb="FFDBF0E5"/>
        </patternFill>
      </fill>
    </dxf>
    <dxf>
      <fill>
        <patternFill patternType="solid">
          <fgColor rgb="FFFFF0CB"/>
        </patternFill>
      </fill>
    </dxf>
    <dxf>
      <fill>
        <patternFill patternType="solid">
          <fgColor rgb="FFE4EAF0"/>
        </patternFill>
      </fill>
    </dxf>
    <dxf>
      <fill>
        <patternFill patternType="solid">
          <fgColor rgb="FFEDE5F7"/>
        </patternFill>
      </fill>
    </dxf>
    <dxf>
      <fill>
        <patternFill patternType="solid">
          <fgColor rgb="FFFFF0CB"/>
        </patternFill>
      </fill>
    </dxf>
    <dxf>
      <fill>
        <patternFill patternType="solid">
          <fgColor rgb="FFDBF0E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36F63"/>
    <pageSetUpPr fitToPage="1"/>
  </sheetPr>
  <dimension ref="A1:L37"/>
  <sheetViews>
    <sheetView showGridLines="0" zoomScale="95" workbookViewId="0">
      <pane ySplit="8" topLeftCell="A9" activePane="bottomLeft" state="frozen"/>
      <selection pane="bottomLeft" activeCell="A15" sqref="A15:F15"/>
    </sheetView>
  </sheetViews>
  <sheetFormatPr baseColWidth="10" defaultColWidth="8.83203125" defaultRowHeight="17"/>
  <cols>
    <col min="1" max="12" width="11" customWidth="1"/>
  </cols>
  <sheetData>
    <row r="1" spans="1:12" ht="23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23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37" customHeight="1">
      <c r="A3" s="11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ht="12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1" customHeight="1">
      <c r="A5" s="6" t="s">
        <v>2</v>
      </c>
      <c r="B5" s="7"/>
      <c r="C5" s="16"/>
      <c r="D5" s="15"/>
      <c r="E5" s="15"/>
      <c r="F5" s="15"/>
      <c r="G5" s="6" t="s">
        <v>3</v>
      </c>
      <c r="H5" s="7"/>
      <c r="I5" s="16"/>
      <c r="J5" s="15"/>
      <c r="K5" s="15"/>
      <c r="L5" s="15"/>
    </row>
    <row r="6" spans="1:12" ht="31" customHeight="1">
      <c r="A6" s="6" t="s">
        <v>4</v>
      </c>
      <c r="B6" s="7"/>
      <c r="C6" s="16"/>
      <c r="D6" s="15"/>
      <c r="E6" s="15"/>
      <c r="F6" s="15"/>
      <c r="G6" s="6" t="s">
        <v>137</v>
      </c>
      <c r="H6" s="7"/>
      <c r="I6" s="28"/>
      <c r="J6" s="15"/>
      <c r="K6" s="15"/>
      <c r="L6" s="15"/>
    </row>
    <row r="7" spans="1:12" ht="31" customHeight="1">
      <c r="A7" s="6" t="s">
        <v>5</v>
      </c>
      <c r="B7" s="7"/>
      <c r="C7" s="28"/>
      <c r="D7" s="15"/>
      <c r="E7" s="15"/>
      <c r="F7" s="15"/>
      <c r="G7" s="6" t="s">
        <v>6</v>
      </c>
      <c r="H7" s="7"/>
      <c r="I7" s="16"/>
      <c r="J7" s="15"/>
      <c r="K7" s="15"/>
      <c r="L7" s="15"/>
    </row>
    <row r="8" spans="1:1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27" customHeight="1">
      <c r="A9" s="17" t="s">
        <v>7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</row>
    <row r="10" spans="1:12" ht="34" customHeight="1">
      <c r="A10" s="20" t="s">
        <v>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ht="34" customHeight="1">
      <c r="A11" s="20" t="s">
        <v>9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12" ht="34" customHeight="1">
      <c r="A12" s="20" t="s">
        <v>10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spans="1:12" ht="34" customHeight="1">
      <c r="A13" s="20" t="s">
        <v>11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spans="1:12" ht="34" customHeight="1">
      <c r="A14" s="20" t="s">
        <v>12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spans="1:12" ht="27" customHeight="1">
      <c r="A15" s="11" t="s">
        <v>138</v>
      </c>
      <c r="B15" s="7"/>
      <c r="C15" s="7"/>
      <c r="D15" s="7"/>
      <c r="E15" s="7"/>
      <c r="F15" s="7"/>
      <c r="G15" s="29" t="s">
        <v>13</v>
      </c>
      <c r="H15" s="15"/>
      <c r="I15" s="15"/>
      <c r="J15" s="15"/>
      <c r="K15" s="15"/>
      <c r="L15" s="15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27" customHeight="1">
      <c r="A17" s="17" t="s">
        <v>14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</row>
    <row r="18" spans="1:12" ht="23" customHeight="1">
      <c r="A18" s="21" t="s">
        <v>15</v>
      </c>
      <c r="B18" s="7"/>
      <c r="C18" s="7"/>
      <c r="D18" s="7"/>
      <c r="E18" s="21" t="s">
        <v>16</v>
      </c>
      <c r="F18" s="7"/>
      <c r="G18" s="7"/>
      <c r="H18" s="7"/>
      <c r="I18" s="21" t="s">
        <v>17</v>
      </c>
      <c r="J18" s="7"/>
      <c r="K18" s="7"/>
      <c r="L18" s="7"/>
    </row>
    <row r="19" spans="1:12" ht="38" customHeight="1">
      <c r="A19" s="19">
        <f>COUNTIF('전문가 검수'!$B$8:$B$17,"?*")</f>
        <v>0</v>
      </c>
      <c r="B19" s="7"/>
      <c r="C19" s="7"/>
      <c r="D19" s="7"/>
      <c r="E19" s="19">
        <f>COUNTIFS('전문가 검수'!$B$8:$B$17,"?*",'전문가 검수'!$E$8:$E$17,"?*")</f>
        <v>0</v>
      </c>
      <c r="F19" s="7"/>
      <c r="G19" s="7"/>
      <c r="H19" s="7"/>
      <c r="I19" s="19">
        <f>COUNTIFS('전문가 검수'!$B$8:$B$17,"?*",'전문가 검수'!$E$8:$E$17,"")</f>
        <v>0</v>
      </c>
      <c r="J19" s="7"/>
      <c r="K19" s="7"/>
      <c r="L19" s="7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27" customHeight="1">
      <c r="A21" s="17" t="s">
        <v>18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33" customHeight="1">
      <c r="A23" s="30" t="s">
        <v>19</v>
      </c>
      <c r="B23" s="31"/>
      <c r="C23" s="31"/>
      <c r="D23" s="31"/>
      <c r="E23" s="20" t="s">
        <v>20</v>
      </c>
      <c r="F23" s="13"/>
      <c r="G23" s="13"/>
      <c r="H23" s="13"/>
      <c r="I23" s="13"/>
      <c r="J23" s="13"/>
      <c r="K23" s="13"/>
      <c r="L23" s="13"/>
    </row>
    <row r="24" spans="1:12" ht="33" customHeight="1">
      <c r="A24" s="26" t="s">
        <v>21</v>
      </c>
      <c r="B24" s="27"/>
      <c r="C24" s="27"/>
      <c r="D24" s="27"/>
      <c r="E24" s="20" t="s">
        <v>22</v>
      </c>
      <c r="F24" s="13"/>
      <c r="G24" s="13"/>
      <c r="H24" s="13"/>
      <c r="I24" s="13"/>
      <c r="J24" s="13"/>
      <c r="K24" s="13"/>
      <c r="L24" s="13"/>
    </row>
    <row r="25" spans="1:12" ht="33" customHeight="1">
      <c r="A25" s="24" t="s">
        <v>23</v>
      </c>
      <c r="B25" s="25"/>
      <c r="C25" s="25"/>
      <c r="D25" s="25"/>
      <c r="E25" s="20" t="s">
        <v>24</v>
      </c>
      <c r="F25" s="13"/>
      <c r="G25" s="13"/>
      <c r="H25" s="13"/>
      <c r="I25" s="13"/>
      <c r="J25" s="13"/>
      <c r="K25" s="13"/>
      <c r="L25" s="13"/>
    </row>
    <row r="26" spans="1:12" ht="33" customHeight="1">
      <c r="A26" s="22" t="s">
        <v>25</v>
      </c>
      <c r="B26" s="23"/>
      <c r="C26" s="23"/>
      <c r="D26" s="23"/>
      <c r="E26" s="20" t="s">
        <v>26</v>
      </c>
      <c r="F26" s="13"/>
      <c r="G26" s="13"/>
      <c r="H26" s="13"/>
      <c r="I26" s="13"/>
      <c r="J26" s="13"/>
      <c r="K26" s="13"/>
      <c r="L26" s="13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27" customHeight="1">
      <c r="A28" s="17" t="s">
        <v>27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</row>
    <row r="29" spans="1:12" ht="29" customHeight="1">
      <c r="A29" s="6" t="s">
        <v>28</v>
      </c>
      <c r="B29" s="7"/>
      <c r="C29" s="7"/>
      <c r="D29" s="7"/>
      <c r="E29" s="20" t="s">
        <v>29</v>
      </c>
      <c r="F29" s="13"/>
      <c r="G29" s="13"/>
      <c r="H29" s="13"/>
      <c r="I29" s="13"/>
      <c r="J29" s="13"/>
      <c r="K29" s="13"/>
      <c r="L29" s="13"/>
    </row>
    <row r="30" spans="1:12" ht="29" customHeight="1">
      <c r="A30" s="6" t="s">
        <v>30</v>
      </c>
      <c r="B30" s="7"/>
      <c r="C30" s="7"/>
      <c r="D30" s="7"/>
      <c r="E30" s="20" t="s">
        <v>31</v>
      </c>
      <c r="F30" s="13"/>
      <c r="G30" s="13"/>
      <c r="H30" s="13"/>
      <c r="I30" s="13"/>
      <c r="J30" s="13"/>
      <c r="K30" s="13"/>
      <c r="L30" s="13"/>
    </row>
    <row r="31" spans="1:12" ht="29" customHeight="1">
      <c r="A31" s="6" t="s">
        <v>32</v>
      </c>
      <c r="B31" s="7"/>
      <c r="C31" s="7"/>
      <c r="D31" s="7"/>
      <c r="E31" s="20" t="s">
        <v>33</v>
      </c>
      <c r="F31" s="13"/>
      <c r="G31" s="13"/>
      <c r="H31" s="13"/>
      <c r="I31" s="13"/>
      <c r="J31" s="13"/>
      <c r="K31" s="13"/>
      <c r="L31" s="13"/>
    </row>
    <row r="32" spans="1:12" ht="29" customHeight="1">
      <c r="A32" s="6" t="s">
        <v>34</v>
      </c>
      <c r="B32" s="7"/>
      <c r="C32" s="7"/>
      <c r="D32" s="7"/>
      <c r="E32" s="20" t="s">
        <v>35</v>
      </c>
      <c r="F32" s="13"/>
      <c r="G32" s="13"/>
      <c r="H32" s="13"/>
      <c r="I32" s="13"/>
      <c r="J32" s="13"/>
      <c r="K32" s="13"/>
      <c r="L32" s="13"/>
    </row>
    <row r="33" spans="1:12" ht="29" customHeight="1">
      <c r="A33" s="6" t="s">
        <v>36</v>
      </c>
      <c r="B33" s="7"/>
      <c r="C33" s="7"/>
      <c r="D33" s="7"/>
      <c r="E33" s="20" t="s">
        <v>37</v>
      </c>
      <c r="F33" s="13"/>
      <c r="G33" s="13"/>
      <c r="H33" s="13"/>
      <c r="I33" s="13"/>
      <c r="J33" s="13"/>
      <c r="K33" s="13"/>
      <c r="L33" s="13"/>
    </row>
    <row r="34" spans="1:12" ht="29" customHeight="1">
      <c r="A34" s="6" t="s">
        <v>38</v>
      </c>
      <c r="B34" s="7"/>
      <c r="C34" s="7"/>
      <c r="D34" s="7"/>
      <c r="E34" s="20" t="s">
        <v>39</v>
      </c>
      <c r="F34" s="13"/>
      <c r="G34" s="13"/>
      <c r="H34" s="13"/>
      <c r="I34" s="13"/>
      <c r="J34" s="13"/>
      <c r="K34" s="13"/>
      <c r="L34" s="13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32" customHeight="1">
      <c r="A36" s="1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</sheetData>
  <mergeCells count="52">
    <mergeCell ref="A36:L36"/>
    <mergeCell ref="A34:D34"/>
    <mergeCell ref="E32:L32"/>
    <mergeCell ref="C7:F7"/>
    <mergeCell ref="E23:L23"/>
    <mergeCell ref="A19:D19"/>
    <mergeCell ref="E34:L34"/>
    <mergeCell ref="A30:D30"/>
    <mergeCell ref="A33:D33"/>
    <mergeCell ref="A29:D29"/>
    <mergeCell ref="A23:D23"/>
    <mergeCell ref="E30:L30"/>
    <mergeCell ref="E33:L33"/>
    <mergeCell ref="A28:L28"/>
    <mergeCell ref="A1:L2"/>
    <mergeCell ref="C6:F6"/>
    <mergeCell ref="I6:L6"/>
    <mergeCell ref="A14:L14"/>
    <mergeCell ref="A21:L21"/>
    <mergeCell ref="A17:L17"/>
    <mergeCell ref="G6:H6"/>
    <mergeCell ref="C5:F5"/>
    <mergeCell ref="A10:L10"/>
    <mergeCell ref="A3:L3"/>
    <mergeCell ref="I19:L19"/>
    <mergeCell ref="A6:B6"/>
    <mergeCell ref="A12:L12"/>
    <mergeCell ref="G15:L15"/>
    <mergeCell ref="E18:H18"/>
    <mergeCell ref="E31:L31"/>
    <mergeCell ref="A32:D32"/>
    <mergeCell ref="E29:L29"/>
    <mergeCell ref="A5:B5"/>
    <mergeCell ref="G5:H5"/>
    <mergeCell ref="A13:L13"/>
    <mergeCell ref="A24:D24"/>
    <mergeCell ref="A7:B7"/>
    <mergeCell ref="G7:H7"/>
    <mergeCell ref="A31:D31"/>
    <mergeCell ref="I5:L5"/>
    <mergeCell ref="I7:L7"/>
    <mergeCell ref="A9:L9"/>
    <mergeCell ref="E19:H19"/>
    <mergeCell ref="E26:L26"/>
    <mergeCell ref="A15:F15"/>
    <mergeCell ref="E25:L25"/>
    <mergeCell ref="A18:D18"/>
    <mergeCell ref="A26:D26"/>
    <mergeCell ref="I18:L18"/>
    <mergeCell ref="A11:L11"/>
    <mergeCell ref="E24:L24"/>
    <mergeCell ref="A25:D25"/>
  </mergeCells>
  <phoneticPr fontId="13" type="noConversion"/>
  <printOptions horizontalCentered="1"/>
  <pageMargins left="0.25" right="0.25" top="0.35" bottom="0.35" header="0.5" footer="0.5"/>
  <pageSetup paperSize="9" fitToHeight="0" orientation="landscape"/>
  <headerFooter>
    <oddFooter>&amp;C&amp;9 Day05 · 전문가 피드백 양식 ·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36F63"/>
    <pageSetUpPr fitToPage="1"/>
  </sheetPr>
  <dimension ref="A1:G14"/>
  <sheetViews>
    <sheetView showGridLines="0" tabSelected="1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28" sqref="C28"/>
    </sheetView>
  </sheetViews>
  <sheetFormatPr baseColWidth="10" defaultColWidth="8.83203125" defaultRowHeight="17"/>
  <cols>
    <col min="1" max="1" width="15" customWidth="1"/>
    <col min="2" max="2" width="35" customWidth="1"/>
    <col min="3" max="3" width="41" customWidth="1"/>
    <col min="4" max="4" width="39" customWidth="1"/>
    <col min="5" max="5" width="23" customWidth="1"/>
    <col min="6" max="6" width="38" customWidth="1"/>
    <col min="7" max="7" width="35" customWidth="1"/>
  </cols>
  <sheetData>
    <row r="1" spans="1:7" ht="23" customHeight="1">
      <c r="A1" s="9" t="s">
        <v>135</v>
      </c>
      <c r="B1" s="10"/>
      <c r="C1" s="10"/>
      <c r="D1" s="10"/>
      <c r="E1" s="10"/>
      <c r="F1" s="10"/>
      <c r="G1" s="10"/>
    </row>
    <row r="2" spans="1:7" ht="23" customHeight="1">
      <c r="A2" s="10"/>
      <c r="B2" s="10"/>
      <c r="C2" s="10"/>
      <c r="D2" s="10"/>
      <c r="E2" s="10"/>
      <c r="F2" s="10"/>
      <c r="G2" s="10"/>
    </row>
    <row r="3" spans="1:7" ht="37" customHeight="1">
      <c r="A3" s="11" t="s">
        <v>136</v>
      </c>
      <c r="B3" s="7"/>
      <c r="C3" s="7"/>
      <c r="D3" s="7"/>
      <c r="E3" s="7"/>
      <c r="F3" s="7"/>
      <c r="G3" s="7"/>
    </row>
    <row r="4" spans="1:7" ht="12" customHeight="1">
      <c r="A4" s="1"/>
      <c r="B4" s="1"/>
      <c r="C4" s="1"/>
      <c r="D4" s="1"/>
      <c r="E4" s="1"/>
      <c r="F4" s="1"/>
      <c r="G4" s="1"/>
    </row>
    <row r="5" spans="1:7" ht="28" customHeight="1">
      <c r="A5" s="6" t="s">
        <v>134</v>
      </c>
      <c r="B5" s="7"/>
      <c r="C5" s="7"/>
      <c r="D5" s="7"/>
      <c r="E5" s="14" t="s">
        <v>40</v>
      </c>
      <c r="F5" s="15"/>
      <c r="G5" s="15"/>
    </row>
    <row r="6" spans="1:7" ht="29" customHeight="1">
      <c r="A6" s="12" t="s">
        <v>41</v>
      </c>
      <c r="B6" s="13"/>
      <c r="C6" s="13"/>
      <c r="D6" s="13"/>
      <c r="E6" s="13"/>
      <c r="F6" s="13"/>
      <c r="G6" s="13"/>
    </row>
    <row r="7" spans="1:7" ht="37" customHeight="1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</row>
    <row r="8" spans="1:7" ht="135" customHeight="1">
      <c r="A8" s="3" t="s">
        <v>49</v>
      </c>
      <c r="B8" s="3" t="s">
        <v>50</v>
      </c>
      <c r="C8" s="3" t="s">
        <v>51</v>
      </c>
      <c r="D8" s="3" t="s">
        <v>52</v>
      </c>
      <c r="E8" s="4" t="s">
        <v>19</v>
      </c>
      <c r="F8" s="4"/>
      <c r="G8" s="4" t="s">
        <v>53</v>
      </c>
    </row>
    <row r="9" spans="1:7" ht="135" customHeight="1">
      <c r="A9" s="3" t="s">
        <v>54</v>
      </c>
      <c r="B9" s="3" t="s">
        <v>55</v>
      </c>
      <c r="C9" s="3" t="s">
        <v>56</v>
      </c>
      <c r="D9" s="3" t="s">
        <v>57</v>
      </c>
      <c r="E9" s="4" t="s">
        <v>21</v>
      </c>
      <c r="F9" s="4" t="s">
        <v>58</v>
      </c>
      <c r="G9" s="4" t="s">
        <v>59</v>
      </c>
    </row>
    <row r="10" spans="1:7" ht="135" customHeight="1">
      <c r="A10" s="3" t="s">
        <v>60</v>
      </c>
      <c r="B10" s="3" t="s">
        <v>61</v>
      </c>
      <c r="C10" s="3" t="s">
        <v>62</v>
      </c>
      <c r="D10" s="3" t="s">
        <v>63</v>
      </c>
      <c r="E10" s="4" t="s">
        <v>23</v>
      </c>
      <c r="F10" s="4" t="s">
        <v>64</v>
      </c>
      <c r="G10" s="4" t="s">
        <v>65</v>
      </c>
    </row>
    <row r="11" spans="1:7" ht="135" customHeight="1">
      <c r="A11" s="3" t="s">
        <v>66</v>
      </c>
      <c r="B11" s="3" t="s">
        <v>67</v>
      </c>
      <c r="C11" s="3" t="s">
        <v>68</v>
      </c>
      <c r="D11" s="3" t="s">
        <v>69</v>
      </c>
      <c r="E11" s="4" t="s">
        <v>25</v>
      </c>
      <c r="F11" s="4" t="s">
        <v>70</v>
      </c>
      <c r="G11" s="4"/>
    </row>
    <row r="12" spans="1:7">
      <c r="A12" s="1"/>
      <c r="B12" s="1"/>
      <c r="C12" s="1"/>
      <c r="D12" s="1"/>
      <c r="E12" s="1"/>
      <c r="F12" s="1"/>
      <c r="G12" s="1"/>
    </row>
    <row r="13" spans="1:7" ht="42" customHeight="1">
      <c r="A13" s="8" t="s">
        <v>71</v>
      </c>
      <c r="B13" s="7"/>
      <c r="C13" s="7"/>
      <c r="D13" s="7"/>
      <c r="E13" s="7"/>
      <c r="F13" s="7"/>
      <c r="G13" s="7"/>
    </row>
    <row r="14" spans="1:7">
      <c r="A14" s="1"/>
      <c r="B14" s="1"/>
      <c r="C14" s="1"/>
      <c r="D14" s="1"/>
      <c r="E14" s="1"/>
      <c r="F14" s="1"/>
      <c r="G14" s="1"/>
    </row>
  </sheetData>
  <autoFilter ref="A7:G11" xr:uid="{00000000-0009-0000-0000-000001000000}"/>
  <mergeCells count="6">
    <mergeCell ref="A5:D5"/>
    <mergeCell ref="A13:G13"/>
    <mergeCell ref="A1:G2"/>
    <mergeCell ref="A3:G3"/>
    <mergeCell ref="A6:G6"/>
    <mergeCell ref="E5:G5"/>
  </mergeCells>
  <phoneticPr fontId="13" type="noConversion"/>
  <conditionalFormatting sqref="E8:E11">
    <cfRule type="expression" dxfId="18" priority="1">
      <formula>$E8="문제없음"</formula>
    </cfRule>
    <cfRule type="expression" dxfId="17" priority="2">
      <formula>$E8="수정 필요"</formula>
    </cfRule>
    <cfRule type="expression" dxfId="16" priority="3">
      <formula>$E8="문서로 판단 불가"</formula>
    </cfRule>
    <cfRule type="expression" dxfId="15" priority="4">
      <formula>$E8="질문 부적절"</formula>
    </cfRule>
  </conditionalFormatting>
  <conditionalFormatting sqref="F8:F11">
    <cfRule type="expression" dxfId="14" priority="5">
      <formula>AND($B8&lt;&gt;"",$E8&lt;&gt;"",$E8&lt;&gt;"문제없음",$F8="")</formula>
    </cfRule>
  </conditionalFormatting>
  <dataValidations count="1">
    <dataValidation type="list" allowBlank="1" showInputMessage="1" showErrorMessage="1" errorTitle="목록에서 선택해 주세요" error="판정을 추측해서 입력하지 마세요. 미검수라면 빈칸으로 둡니다." promptTitle="직접 검토한 뒤 선택" prompt="빈칸은 미검수입니다. 예시의 판정을 실제 검수로 복사하지 않습니다." sqref="E8:E11" xr:uid="{00000000-0002-0000-0100-000000000000}">
      <formula1>ReviewChoices</formula1>
    </dataValidation>
  </dataValidations>
  <printOptions horizontalCentered="1"/>
  <pageMargins left="0.25" right="0.25" top="0.35" bottom="0.35" header="0.5" footer="0.5"/>
  <pageSetup paperSize="8" fitToHeight="0" orientation="landscape"/>
  <headerFooter>
    <oddFooter>&amp;C&amp;9 Day05 · 전문가 피드백 양식 · &amp;P / 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36F63"/>
    <pageSetUpPr fitToPage="1"/>
  </sheetPr>
  <dimension ref="A1:G20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Q11" sqref="Q11"/>
    </sheetView>
  </sheetViews>
  <sheetFormatPr baseColWidth="10" defaultColWidth="8.83203125" defaultRowHeight="17"/>
  <cols>
    <col min="1" max="1" width="15" customWidth="1"/>
    <col min="2" max="2" width="35" customWidth="1"/>
    <col min="3" max="3" width="41" customWidth="1"/>
    <col min="4" max="4" width="39" customWidth="1"/>
    <col min="5" max="5" width="23" customWidth="1"/>
    <col min="6" max="6" width="38" customWidth="1"/>
    <col min="7" max="7" width="35" customWidth="1"/>
  </cols>
  <sheetData>
    <row r="1" spans="1:7" ht="23" customHeight="1">
      <c r="A1" s="9" t="s">
        <v>139</v>
      </c>
      <c r="B1" s="10"/>
      <c r="C1" s="10"/>
      <c r="D1" s="10"/>
      <c r="E1" s="10"/>
      <c r="F1" s="10"/>
      <c r="G1" s="10"/>
    </row>
    <row r="2" spans="1:7" ht="23" customHeight="1">
      <c r="A2" s="10"/>
      <c r="B2" s="10"/>
      <c r="C2" s="10"/>
      <c r="D2" s="10"/>
      <c r="E2" s="10"/>
      <c r="F2" s="10"/>
      <c r="G2" s="10"/>
    </row>
    <row r="3" spans="1:7" ht="37" customHeight="1">
      <c r="A3" s="11" t="s">
        <v>72</v>
      </c>
      <c r="B3" s="7"/>
      <c r="C3" s="7"/>
      <c r="D3" s="7"/>
      <c r="E3" s="7"/>
      <c r="F3" s="7"/>
      <c r="G3" s="7"/>
    </row>
    <row r="4" spans="1:7" ht="12" customHeight="1">
      <c r="A4" s="1"/>
      <c r="B4" s="1"/>
      <c r="C4" s="1"/>
      <c r="D4" s="1"/>
      <c r="E4" s="1"/>
      <c r="F4" s="1"/>
      <c r="G4" s="1"/>
    </row>
    <row r="5" spans="1:7" ht="28" customHeight="1">
      <c r="A5" s="6" t="s">
        <v>73</v>
      </c>
      <c r="B5" s="7"/>
      <c r="C5" s="7"/>
      <c r="D5" s="7"/>
      <c r="E5" s="14" t="s">
        <v>74</v>
      </c>
      <c r="F5" s="15"/>
      <c r="G5" s="15"/>
    </row>
    <row r="6" spans="1:7" ht="29" customHeight="1">
      <c r="A6" s="12" t="s">
        <v>41</v>
      </c>
      <c r="B6" s="13"/>
      <c r="C6" s="13"/>
      <c r="D6" s="13"/>
      <c r="E6" s="13"/>
      <c r="F6" s="13"/>
      <c r="G6" s="13"/>
    </row>
    <row r="7" spans="1:7" ht="37" customHeight="1">
      <c r="A7" s="2" t="s">
        <v>42</v>
      </c>
      <c r="B7" s="2" t="s">
        <v>43</v>
      </c>
      <c r="C7" s="2" t="s">
        <v>75</v>
      </c>
      <c r="D7" s="2" t="s">
        <v>45</v>
      </c>
      <c r="E7" s="2" t="s">
        <v>46</v>
      </c>
      <c r="F7" s="2" t="s">
        <v>47</v>
      </c>
      <c r="G7" s="2" t="s">
        <v>48</v>
      </c>
    </row>
    <row r="8" spans="1:7" ht="103" customHeight="1">
      <c r="A8" s="3" t="s">
        <v>76</v>
      </c>
      <c r="B8" s="3"/>
      <c r="C8" s="3"/>
      <c r="D8" s="3"/>
      <c r="E8" s="4"/>
      <c r="F8" s="4"/>
      <c r="G8" s="4"/>
    </row>
    <row r="9" spans="1:7" ht="103" customHeight="1">
      <c r="A9" s="3" t="s">
        <v>77</v>
      </c>
      <c r="B9" s="3"/>
      <c r="C9" s="3"/>
      <c r="D9" s="3"/>
      <c r="E9" s="4"/>
      <c r="F9" s="4"/>
      <c r="G9" s="4"/>
    </row>
    <row r="10" spans="1:7" ht="103" customHeight="1">
      <c r="A10" s="3" t="s">
        <v>78</v>
      </c>
      <c r="B10" s="3"/>
      <c r="C10" s="3"/>
      <c r="D10" s="3"/>
      <c r="E10" s="4"/>
      <c r="F10" s="4"/>
      <c r="G10" s="4"/>
    </row>
    <row r="11" spans="1:7" ht="103" customHeight="1">
      <c r="A11" s="3" t="s">
        <v>79</v>
      </c>
      <c r="B11" s="3"/>
      <c r="C11" s="3"/>
      <c r="D11" s="3"/>
      <c r="E11" s="4"/>
      <c r="F11" s="4"/>
      <c r="G11" s="4"/>
    </row>
    <row r="12" spans="1:7" ht="103" customHeight="1">
      <c r="A12" s="3" t="s">
        <v>80</v>
      </c>
      <c r="B12" s="3"/>
      <c r="C12" s="3"/>
      <c r="D12" s="3"/>
      <c r="E12" s="4"/>
      <c r="F12" s="4"/>
      <c r="G12" s="4"/>
    </row>
    <row r="13" spans="1:7" ht="103" customHeight="1">
      <c r="A13" s="3" t="s">
        <v>81</v>
      </c>
      <c r="B13" s="3"/>
      <c r="C13" s="3"/>
      <c r="D13" s="3"/>
      <c r="E13" s="4"/>
      <c r="F13" s="4"/>
      <c r="G13" s="4"/>
    </row>
    <row r="14" spans="1:7" ht="103" customHeight="1">
      <c r="A14" s="3" t="s">
        <v>82</v>
      </c>
      <c r="B14" s="3"/>
      <c r="C14" s="3"/>
      <c r="D14" s="3"/>
      <c r="E14" s="4"/>
      <c r="F14" s="4"/>
      <c r="G14" s="4"/>
    </row>
    <row r="15" spans="1:7" ht="103" customHeight="1">
      <c r="A15" s="3" t="s">
        <v>83</v>
      </c>
      <c r="B15" s="3"/>
      <c r="C15" s="3"/>
      <c r="D15" s="3"/>
      <c r="E15" s="4"/>
      <c r="F15" s="4"/>
      <c r="G15" s="4"/>
    </row>
    <row r="16" spans="1:7" ht="103" customHeight="1">
      <c r="A16" s="3" t="s">
        <v>84</v>
      </c>
      <c r="B16" s="3"/>
      <c r="C16" s="3"/>
      <c r="D16" s="3"/>
      <c r="E16" s="4"/>
      <c r="F16" s="4"/>
      <c r="G16" s="4"/>
    </row>
    <row r="17" spans="1:7" ht="103" customHeight="1">
      <c r="A17" s="3" t="s">
        <v>85</v>
      </c>
      <c r="B17" s="3"/>
      <c r="C17" s="3"/>
      <c r="D17" s="3"/>
      <c r="E17" s="4"/>
      <c r="F17" s="4"/>
      <c r="G17" s="4"/>
    </row>
    <row r="18" spans="1:7">
      <c r="A18" s="1"/>
      <c r="B18" s="1"/>
      <c r="C18" s="1"/>
      <c r="D18" s="1"/>
      <c r="E18" s="1"/>
      <c r="F18" s="1"/>
      <c r="G18" s="1"/>
    </row>
    <row r="19" spans="1:7" ht="32" customHeight="1">
      <c r="A19" s="12" t="s">
        <v>86</v>
      </c>
      <c r="B19" s="13"/>
      <c r="C19" s="13"/>
      <c r="D19" s="13"/>
      <c r="E19" s="13"/>
      <c r="F19" s="13"/>
      <c r="G19" s="13"/>
    </row>
    <row r="20" spans="1:7">
      <c r="A20" s="1"/>
      <c r="B20" s="1"/>
      <c r="C20" s="1"/>
      <c r="D20" s="1"/>
      <c r="E20" s="1"/>
      <c r="F20" s="1"/>
      <c r="G20" s="1"/>
    </row>
  </sheetData>
  <autoFilter ref="A7:G17" xr:uid="{00000000-0009-0000-0000-000002000000}"/>
  <mergeCells count="6">
    <mergeCell ref="A19:G19"/>
    <mergeCell ref="A5:D5"/>
    <mergeCell ref="A1:G2"/>
    <mergeCell ref="A3:G3"/>
    <mergeCell ref="A6:G6"/>
    <mergeCell ref="E5:G5"/>
  </mergeCells>
  <phoneticPr fontId="13" type="noConversion"/>
  <conditionalFormatting sqref="E8:E17">
    <cfRule type="expression" dxfId="13" priority="1">
      <formula>$E8="문제없음"</formula>
    </cfRule>
    <cfRule type="expression" dxfId="12" priority="2">
      <formula>$E8="수정 필요"</formula>
    </cfRule>
    <cfRule type="expression" dxfId="11" priority="3">
      <formula>$E8="문서로 판단 불가"</formula>
    </cfRule>
    <cfRule type="expression" dxfId="10" priority="4">
      <formula>$E8="질문 부적절"</formula>
    </cfRule>
  </conditionalFormatting>
  <conditionalFormatting sqref="F8:F17">
    <cfRule type="expression" dxfId="9" priority="5">
      <formula>AND($B8&lt;&gt;"",$E8&lt;&gt;"",$E8&lt;&gt;"문제없음",$F8="")</formula>
    </cfRule>
  </conditionalFormatting>
  <dataValidations count="1">
    <dataValidation type="list" allowBlank="1" showInputMessage="1" showErrorMessage="1" errorTitle="목록에서 선택해 주세요" error="판정을 추측해서 입력하지 마세요. 미검수라면 빈칸으로 둡니다." promptTitle="직접 검토한 뒤 선택" prompt="빈칸은 미검수입니다. 예시의 판정을 실제 검수로 복사하지 않습니다." sqref="E8:E17" xr:uid="{00000000-0002-0000-0200-000000000000}">
      <formula1>ReviewChoices</formula1>
    </dataValidation>
  </dataValidations>
  <printOptions horizontalCentered="1"/>
  <pageMargins left="0.25" right="0.25" top="0.35" bottom="0.35" header="0.5" footer="0.5"/>
  <pageSetup paperSize="8" fitToHeight="0" orientation="landscape"/>
  <headerFooter>
    <oddFooter>&amp;C&amp;9 Day05 · 전문가 피드백 양식 · &amp;P / &amp;N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36F63"/>
    <pageSetUpPr fitToPage="1"/>
  </sheetPr>
  <dimension ref="A1:H20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baseColWidth="10" defaultColWidth="8.83203125" defaultRowHeight="17"/>
  <cols>
    <col min="1" max="1" width="15" customWidth="1"/>
    <col min="2" max="2" width="23" customWidth="1"/>
    <col min="3" max="3" width="38" customWidth="1"/>
    <col min="4" max="4" width="25" customWidth="1"/>
    <col min="5" max="5" width="39" customWidth="1"/>
    <col min="6" max="6" width="42" customWidth="1"/>
    <col min="7" max="7" width="23" customWidth="1"/>
    <col min="8" max="8" width="35" customWidth="1"/>
  </cols>
  <sheetData>
    <row r="1" spans="1:8" ht="23" customHeight="1">
      <c r="A1" s="9" t="s">
        <v>87</v>
      </c>
      <c r="B1" s="10"/>
      <c r="C1" s="10"/>
      <c r="D1" s="10"/>
      <c r="E1" s="10"/>
      <c r="F1" s="10"/>
      <c r="G1" s="10"/>
      <c r="H1" s="10"/>
    </row>
    <row r="2" spans="1:8" ht="23" customHeight="1">
      <c r="A2" s="10"/>
      <c r="B2" s="10"/>
      <c r="C2" s="10"/>
      <c r="D2" s="10"/>
      <c r="E2" s="10"/>
      <c r="F2" s="10"/>
      <c r="G2" s="10"/>
      <c r="H2" s="10"/>
    </row>
    <row r="3" spans="1:8" ht="37" customHeight="1">
      <c r="A3" s="11" t="s">
        <v>88</v>
      </c>
      <c r="B3" s="7"/>
      <c r="C3" s="7"/>
      <c r="D3" s="7"/>
      <c r="E3" s="7"/>
      <c r="F3" s="7"/>
      <c r="G3" s="7"/>
      <c r="H3" s="7"/>
    </row>
    <row r="4" spans="1:8" ht="12" customHeight="1">
      <c r="A4" s="1"/>
      <c r="B4" s="1"/>
      <c r="C4" s="1"/>
      <c r="D4" s="1"/>
      <c r="E4" s="1"/>
      <c r="F4" s="1"/>
      <c r="G4" s="1"/>
      <c r="H4" s="1"/>
    </row>
    <row r="5" spans="1:8" ht="28" customHeight="1">
      <c r="A5" s="6" t="s">
        <v>89</v>
      </c>
      <c r="B5" s="7"/>
      <c r="C5" s="7"/>
      <c r="D5" s="14" t="s">
        <v>90</v>
      </c>
      <c r="E5" s="15"/>
      <c r="F5" s="15"/>
      <c r="G5" s="14" t="s">
        <v>91</v>
      </c>
      <c r="H5" s="15"/>
    </row>
    <row r="6" spans="1:8" ht="28" customHeight="1">
      <c r="A6" s="12" t="s">
        <v>92</v>
      </c>
      <c r="B6" s="13"/>
      <c r="C6" s="13"/>
      <c r="D6" s="13"/>
      <c r="E6" s="13"/>
      <c r="F6" s="13"/>
      <c r="G6" s="13"/>
      <c r="H6" s="13"/>
    </row>
    <row r="7" spans="1:8" ht="37" customHeight="1">
      <c r="A7" s="2" t="s">
        <v>42</v>
      </c>
      <c r="B7" s="2" t="s">
        <v>93</v>
      </c>
      <c r="C7" s="2" t="s">
        <v>94</v>
      </c>
      <c r="D7" s="2" t="s">
        <v>95</v>
      </c>
      <c r="E7" s="2" t="s">
        <v>96</v>
      </c>
      <c r="F7" s="2" t="s">
        <v>97</v>
      </c>
      <c r="G7" s="2" t="s">
        <v>98</v>
      </c>
      <c r="H7" s="2" t="s">
        <v>99</v>
      </c>
    </row>
    <row r="8" spans="1:8" ht="103" customHeight="1">
      <c r="A8" s="3" t="s">
        <v>76</v>
      </c>
      <c r="B8" s="3" t="str">
        <f>IF(COUNTIFS('전문가 검수'!$A$8:$A$17,$A8,'전문가 검수'!$E$8:$E$17,"?*")=0,"",INDEX('전문가 검수'!$E$8:$E$17,MATCH($A8,'전문가 검수'!$A$8:$A$17,0)))</f>
        <v/>
      </c>
      <c r="C8" s="3" t="str">
        <f>IF(COUNTIFS('전문가 검수'!$A$8:$A$17,$A8,'전문가 검수'!$F$8:$F$17,"?*")=0,"",INDEX('전문가 검수'!$F$8:$F$17,MATCH($A8,'전문가 검수'!$A$8:$A$17,0)))</f>
        <v/>
      </c>
      <c r="D8" s="4"/>
      <c r="E8" s="4"/>
      <c r="F8" s="4"/>
      <c r="G8" s="4"/>
      <c r="H8" s="4"/>
    </row>
    <row r="9" spans="1:8" ht="103" customHeight="1">
      <c r="A9" s="3" t="s">
        <v>77</v>
      </c>
      <c r="B9" s="3" t="str">
        <f>IF(COUNTIFS('전문가 검수'!$A$8:$A$17,$A9,'전문가 검수'!$E$8:$E$17,"?*")=0,"",INDEX('전문가 검수'!$E$8:$E$17,MATCH($A9,'전문가 검수'!$A$8:$A$17,0)))</f>
        <v/>
      </c>
      <c r="C9" s="3" t="str">
        <f>IF(COUNTIFS('전문가 검수'!$A$8:$A$17,$A9,'전문가 검수'!$F$8:$F$17,"?*")=0,"",INDEX('전문가 검수'!$F$8:$F$17,MATCH($A9,'전문가 검수'!$A$8:$A$17,0)))</f>
        <v/>
      </c>
      <c r="D9" s="4"/>
      <c r="E9" s="4"/>
      <c r="F9" s="4"/>
      <c r="G9" s="4"/>
      <c r="H9" s="4"/>
    </row>
    <row r="10" spans="1:8" ht="103" customHeight="1">
      <c r="A10" s="3" t="s">
        <v>78</v>
      </c>
      <c r="B10" s="3" t="str">
        <f>IF(COUNTIFS('전문가 검수'!$A$8:$A$17,$A10,'전문가 검수'!$E$8:$E$17,"?*")=0,"",INDEX('전문가 검수'!$E$8:$E$17,MATCH($A10,'전문가 검수'!$A$8:$A$17,0)))</f>
        <v/>
      </c>
      <c r="C10" s="3" t="str">
        <f>IF(COUNTIFS('전문가 검수'!$A$8:$A$17,$A10,'전문가 검수'!$F$8:$F$17,"?*")=0,"",INDEX('전문가 검수'!$F$8:$F$17,MATCH($A10,'전문가 검수'!$A$8:$A$17,0)))</f>
        <v/>
      </c>
      <c r="D10" s="4"/>
      <c r="E10" s="4"/>
      <c r="F10" s="4"/>
      <c r="G10" s="4"/>
      <c r="H10" s="4"/>
    </row>
    <row r="11" spans="1:8" ht="103" customHeight="1">
      <c r="A11" s="3" t="s">
        <v>79</v>
      </c>
      <c r="B11" s="3" t="str">
        <f>IF(COUNTIFS('전문가 검수'!$A$8:$A$17,$A11,'전문가 검수'!$E$8:$E$17,"?*")=0,"",INDEX('전문가 검수'!$E$8:$E$17,MATCH($A11,'전문가 검수'!$A$8:$A$17,0)))</f>
        <v/>
      </c>
      <c r="C11" s="3" t="str">
        <f>IF(COUNTIFS('전문가 검수'!$A$8:$A$17,$A11,'전문가 검수'!$F$8:$F$17,"?*")=0,"",INDEX('전문가 검수'!$F$8:$F$17,MATCH($A11,'전문가 검수'!$A$8:$A$17,0)))</f>
        <v/>
      </c>
      <c r="D11" s="4"/>
      <c r="E11" s="4"/>
      <c r="F11" s="4"/>
      <c r="G11" s="4"/>
      <c r="H11" s="4"/>
    </row>
    <row r="12" spans="1:8" ht="103" customHeight="1">
      <c r="A12" s="3" t="s">
        <v>80</v>
      </c>
      <c r="B12" s="3" t="str">
        <f>IF(COUNTIFS('전문가 검수'!$A$8:$A$17,$A12,'전문가 검수'!$E$8:$E$17,"?*")=0,"",INDEX('전문가 검수'!$E$8:$E$17,MATCH($A12,'전문가 검수'!$A$8:$A$17,0)))</f>
        <v/>
      </c>
      <c r="C12" s="3" t="str">
        <f>IF(COUNTIFS('전문가 검수'!$A$8:$A$17,$A12,'전문가 검수'!$F$8:$F$17,"?*")=0,"",INDEX('전문가 검수'!$F$8:$F$17,MATCH($A12,'전문가 검수'!$A$8:$A$17,0)))</f>
        <v/>
      </c>
      <c r="D12" s="4"/>
      <c r="E12" s="4"/>
      <c r="F12" s="4"/>
      <c r="G12" s="4"/>
      <c r="H12" s="4"/>
    </row>
    <row r="13" spans="1:8" ht="103" customHeight="1">
      <c r="A13" s="3" t="s">
        <v>81</v>
      </c>
      <c r="B13" s="3" t="str">
        <f>IF(COUNTIFS('전문가 검수'!$A$8:$A$17,$A13,'전문가 검수'!$E$8:$E$17,"?*")=0,"",INDEX('전문가 검수'!$E$8:$E$17,MATCH($A13,'전문가 검수'!$A$8:$A$17,0)))</f>
        <v/>
      </c>
      <c r="C13" s="3" t="str">
        <f>IF(COUNTIFS('전문가 검수'!$A$8:$A$17,$A13,'전문가 검수'!$F$8:$F$17,"?*")=0,"",INDEX('전문가 검수'!$F$8:$F$17,MATCH($A13,'전문가 검수'!$A$8:$A$17,0)))</f>
        <v/>
      </c>
      <c r="D13" s="4"/>
      <c r="E13" s="4"/>
      <c r="F13" s="4"/>
      <c r="G13" s="4"/>
      <c r="H13" s="4"/>
    </row>
    <row r="14" spans="1:8" ht="103" customHeight="1">
      <c r="A14" s="3" t="s">
        <v>82</v>
      </c>
      <c r="B14" s="3" t="str">
        <f>IF(COUNTIFS('전문가 검수'!$A$8:$A$17,$A14,'전문가 검수'!$E$8:$E$17,"?*")=0,"",INDEX('전문가 검수'!$E$8:$E$17,MATCH($A14,'전문가 검수'!$A$8:$A$17,0)))</f>
        <v/>
      </c>
      <c r="C14" s="3" t="str">
        <f>IF(COUNTIFS('전문가 검수'!$A$8:$A$17,$A14,'전문가 검수'!$F$8:$F$17,"?*")=0,"",INDEX('전문가 검수'!$F$8:$F$17,MATCH($A14,'전문가 검수'!$A$8:$A$17,0)))</f>
        <v/>
      </c>
      <c r="D14" s="4"/>
      <c r="E14" s="4"/>
      <c r="F14" s="4"/>
      <c r="G14" s="4"/>
      <c r="H14" s="4"/>
    </row>
    <row r="15" spans="1:8" ht="103" customHeight="1">
      <c r="A15" s="3" t="s">
        <v>83</v>
      </c>
      <c r="B15" s="3" t="str">
        <f>IF(COUNTIFS('전문가 검수'!$A$8:$A$17,$A15,'전문가 검수'!$E$8:$E$17,"?*")=0,"",INDEX('전문가 검수'!$E$8:$E$17,MATCH($A15,'전문가 검수'!$A$8:$A$17,0)))</f>
        <v/>
      </c>
      <c r="C15" s="3" t="str">
        <f>IF(COUNTIFS('전문가 검수'!$A$8:$A$17,$A15,'전문가 검수'!$F$8:$F$17,"?*")=0,"",INDEX('전문가 검수'!$F$8:$F$17,MATCH($A15,'전문가 검수'!$A$8:$A$17,0)))</f>
        <v/>
      </c>
      <c r="D15" s="4"/>
      <c r="E15" s="4"/>
      <c r="F15" s="4"/>
      <c r="G15" s="4"/>
      <c r="H15" s="4"/>
    </row>
    <row r="16" spans="1:8" ht="103" customHeight="1">
      <c r="A16" s="3" t="s">
        <v>84</v>
      </c>
      <c r="B16" s="3" t="str">
        <f>IF(COUNTIFS('전문가 검수'!$A$8:$A$17,$A16,'전문가 검수'!$E$8:$E$17,"?*")=0,"",INDEX('전문가 검수'!$E$8:$E$17,MATCH($A16,'전문가 검수'!$A$8:$A$17,0)))</f>
        <v/>
      </c>
      <c r="C16" s="3" t="str">
        <f>IF(COUNTIFS('전문가 검수'!$A$8:$A$17,$A16,'전문가 검수'!$F$8:$F$17,"?*")=0,"",INDEX('전문가 검수'!$F$8:$F$17,MATCH($A16,'전문가 검수'!$A$8:$A$17,0)))</f>
        <v/>
      </c>
      <c r="D16" s="4"/>
      <c r="E16" s="4"/>
      <c r="F16" s="4"/>
      <c r="G16" s="4"/>
      <c r="H16" s="4"/>
    </row>
    <row r="17" spans="1:8" ht="103" customHeight="1">
      <c r="A17" s="3" t="s">
        <v>85</v>
      </c>
      <c r="B17" s="3" t="str">
        <f>IF(COUNTIFS('전문가 검수'!$A$8:$A$17,$A17,'전문가 검수'!$E$8:$E$17,"?*")=0,"",INDEX('전문가 검수'!$E$8:$E$17,MATCH($A17,'전문가 검수'!$A$8:$A$17,0)))</f>
        <v/>
      </c>
      <c r="C17" s="3" t="str">
        <f>IF(COUNTIFS('전문가 검수'!$A$8:$A$17,$A17,'전문가 검수'!$F$8:$F$17,"?*")=0,"",INDEX('전문가 검수'!$F$8:$F$17,MATCH($A17,'전문가 검수'!$A$8:$A$17,0)))</f>
        <v/>
      </c>
      <c r="D17" s="4"/>
      <c r="E17" s="4"/>
      <c r="F17" s="4"/>
      <c r="G17" s="4"/>
      <c r="H17" s="4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 ht="30" customHeight="1">
      <c r="A19" s="12" t="s">
        <v>100</v>
      </c>
      <c r="B19" s="13"/>
      <c r="C19" s="13"/>
      <c r="D19" s="13"/>
      <c r="E19" s="13"/>
      <c r="F19" s="13"/>
      <c r="G19" s="13"/>
      <c r="H19" s="13"/>
    </row>
    <row r="20" spans="1:8">
      <c r="A20" s="1"/>
      <c r="B20" s="1"/>
      <c r="C20" s="1"/>
      <c r="D20" s="1"/>
      <c r="E20" s="1"/>
      <c r="F20" s="1"/>
      <c r="G20" s="1"/>
      <c r="H20" s="1"/>
    </row>
  </sheetData>
  <autoFilter ref="A7:H17" xr:uid="{00000000-0009-0000-0000-000003000000}"/>
  <mergeCells count="7">
    <mergeCell ref="A19:H19"/>
    <mergeCell ref="A1:H2"/>
    <mergeCell ref="A6:H6"/>
    <mergeCell ref="A3:H3"/>
    <mergeCell ref="D5:F5"/>
    <mergeCell ref="A5:C5"/>
    <mergeCell ref="G5:H5"/>
  </mergeCells>
  <phoneticPr fontId="13" type="noConversion"/>
  <conditionalFormatting sqref="B8:B17">
    <cfRule type="expression" dxfId="8" priority="1">
      <formula>$B8="문제없음"</formula>
    </cfRule>
    <cfRule type="expression" dxfId="7" priority="2">
      <formula>$B8="수정 필요"</formula>
    </cfRule>
    <cfRule type="expression" dxfId="6" priority="3">
      <formula>$B8="문서로 판단 불가"</formula>
    </cfRule>
    <cfRule type="expression" dxfId="5" priority="4">
      <formula>$B8="질문 부적절"</formula>
    </cfRule>
  </conditionalFormatting>
  <conditionalFormatting sqref="G8:G17">
    <cfRule type="expression" dxfId="4" priority="5">
      <formula>$G8="문제없음"</formula>
    </cfRule>
    <cfRule type="expression" dxfId="3" priority="6">
      <formula>$G8="수정 필요"</formula>
    </cfRule>
    <cfRule type="expression" dxfId="2" priority="7">
      <formula>$G8="문서로 판단 불가"</formula>
    </cfRule>
    <cfRule type="expression" dxfId="1" priority="8">
      <formula>$G8="질문 부적절"</formula>
    </cfRule>
    <cfRule type="expression" dxfId="0" priority="9">
      <formula>AND($G8&lt;&gt;"",$F8="")</formula>
    </cfRule>
  </conditionalFormatting>
  <dataValidations count="2">
    <dataValidation type="list" allowBlank="1" showInputMessage="1" showErrorMessage="1" errorTitle="목록에서 선택해 주세요" error="판정을 추측해서 입력하지 마세요. 미검수라면 빈칸으로 둡니다." promptTitle="직접 검토한 뒤 선택" prompt="빈칸은 미검수입니다. 예시의 판정을 실제 검수로 복사하지 않습니다." sqref="D8:D17" xr:uid="{00000000-0002-0000-0300-000000000000}">
      <formula1>ChangeChoices</formula1>
    </dataValidation>
    <dataValidation type="list" allowBlank="1" showInputMessage="1" showErrorMessage="1" errorTitle="목록에서 선택해 주세요" error="판정을 추측해서 입력하지 마세요. 미검수라면 빈칸으로 둡니다." promptTitle="직접 검토한 뒤 선택" prompt="빈칸은 미검수입니다. 예시의 판정을 실제 검수로 복사하지 않습니다." sqref="G8:G17" xr:uid="{00000000-0002-0000-0300-000001000000}">
      <formula1>ReviewChoices</formula1>
    </dataValidation>
  </dataValidations>
  <printOptions horizontalCentered="1"/>
  <pageMargins left="0.25" right="0.25" top="0.35" bottom="0.35" header="0.5" footer="0.5"/>
  <pageSetup paperSize="8" fitToHeight="0" orientation="landscape"/>
  <headerFooter>
    <oddFooter>&amp;C&amp;9 Day05 · 전문가 피드백 양식 · &amp;P / &amp;N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36F63"/>
    <pageSetUpPr fitToPage="1"/>
  </sheetPr>
  <dimension ref="A1:D16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20" sqref="C20"/>
    </sheetView>
  </sheetViews>
  <sheetFormatPr baseColWidth="10" defaultColWidth="8.83203125" defaultRowHeight="17"/>
  <cols>
    <col min="1" max="1" width="14" customWidth="1"/>
    <col min="2" max="2" width="26" customWidth="1"/>
    <col min="3" max="3" width="78" customWidth="1"/>
    <col min="4" max="4" width="67" customWidth="1"/>
  </cols>
  <sheetData>
    <row r="1" spans="1:4" ht="23" customHeight="1">
      <c r="A1" s="9" t="s">
        <v>101</v>
      </c>
      <c r="B1" s="10"/>
      <c r="C1" s="10"/>
      <c r="D1" s="10"/>
    </row>
    <row r="2" spans="1:4" ht="23" customHeight="1">
      <c r="A2" s="10"/>
      <c r="B2" s="10"/>
      <c r="C2" s="10"/>
      <c r="D2" s="10"/>
    </row>
    <row r="3" spans="1:4" ht="37" customHeight="1">
      <c r="A3" s="11" t="s">
        <v>102</v>
      </c>
      <c r="B3" s="7"/>
      <c r="C3" s="7"/>
      <c r="D3" s="7"/>
    </row>
    <row r="4" spans="1:4" ht="12" customHeight="1">
      <c r="A4" s="1"/>
      <c r="B4" s="1"/>
      <c r="C4" s="1"/>
      <c r="D4" s="1"/>
    </row>
    <row r="5" spans="1:4" ht="28" customHeight="1">
      <c r="A5" s="6" t="s">
        <v>103</v>
      </c>
      <c r="B5" s="7"/>
      <c r="C5" s="11" t="s">
        <v>104</v>
      </c>
      <c r="D5" s="7"/>
    </row>
    <row r="6" spans="1:4" ht="27" customHeight="1">
      <c r="A6" s="1" t="s">
        <v>137</v>
      </c>
      <c r="B6" s="5">
        <v>46275</v>
      </c>
      <c r="C6" s="1"/>
      <c r="D6" s="1"/>
    </row>
    <row r="7" spans="1:4" ht="37" customHeight="1">
      <c r="A7" s="2" t="s">
        <v>105</v>
      </c>
      <c r="B7" s="2" t="s">
        <v>106</v>
      </c>
      <c r="C7" s="2" t="s">
        <v>107</v>
      </c>
      <c r="D7" s="2" t="s">
        <v>108</v>
      </c>
    </row>
    <row r="8" spans="1:4" ht="99" customHeight="1">
      <c r="A8" s="3" t="s">
        <v>109</v>
      </c>
      <c r="B8" s="3" t="s">
        <v>110</v>
      </c>
      <c r="C8" s="3" t="s">
        <v>111</v>
      </c>
      <c r="D8" s="3" t="s">
        <v>112</v>
      </c>
    </row>
    <row r="9" spans="1:4" ht="99" customHeight="1">
      <c r="A9" s="3" t="s">
        <v>113</v>
      </c>
      <c r="B9" s="3" t="s">
        <v>114</v>
      </c>
      <c r="C9" s="3" t="s">
        <v>115</v>
      </c>
      <c r="D9" s="3" t="s">
        <v>116</v>
      </c>
    </row>
    <row r="10" spans="1:4" ht="99" customHeight="1">
      <c r="A10" s="3" t="s">
        <v>117</v>
      </c>
      <c r="B10" s="3" t="s">
        <v>118</v>
      </c>
      <c r="C10" s="3" t="s">
        <v>119</v>
      </c>
      <c r="D10" s="3" t="s">
        <v>120</v>
      </c>
    </row>
    <row r="11" spans="1:4" ht="99" customHeight="1">
      <c r="A11" s="3" t="s">
        <v>121</v>
      </c>
      <c r="B11" s="3" t="s">
        <v>122</v>
      </c>
      <c r="C11" s="3" t="s">
        <v>123</v>
      </c>
      <c r="D11" s="3" t="s">
        <v>124</v>
      </c>
    </row>
    <row r="12" spans="1:4" ht="119" customHeight="1">
      <c r="A12" s="3" t="s">
        <v>125</v>
      </c>
      <c r="B12" s="3" t="s">
        <v>126</v>
      </c>
      <c r="C12" s="3" t="s">
        <v>127</v>
      </c>
      <c r="D12" s="3" t="s">
        <v>128</v>
      </c>
    </row>
    <row r="13" spans="1:4" ht="99" customHeight="1">
      <c r="A13" s="3" t="s">
        <v>129</v>
      </c>
      <c r="B13" s="3" t="s">
        <v>130</v>
      </c>
      <c r="C13" s="3" t="s">
        <v>131</v>
      </c>
      <c r="D13" s="3" t="s">
        <v>132</v>
      </c>
    </row>
    <row r="14" spans="1:4">
      <c r="A14" s="1"/>
      <c r="B14" s="1"/>
      <c r="C14" s="1"/>
      <c r="D14" s="1"/>
    </row>
    <row r="15" spans="1:4" ht="33" customHeight="1">
      <c r="A15" s="12" t="s">
        <v>133</v>
      </c>
      <c r="B15" s="13"/>
      <c r="C15" s="13"/>
      <c r="D15" s="13"/>
    </row>
    <row r="16" spans="1:4">
      <c r="A16" s="1"/>
      <c r="B16" s="1"/>
      <c r="C16" s="1"/>
      <c r="D16" s="1"/>
    </row>
  </sheetData>
  <autoFilter ref="A7:D13" xr:uid="{00000000-0009-0000-0000-000004000000}"/>
  <mergeCells count="5">
    <mergeCell ref="A1:D2"/>
    <mergeCell ref="A3:D3"/>
    <mergeCell ref="C5:D5"/>
    <mergeCell ref="A5:B5"/>
    <mergeCell ref="A15:D15"/>
  </mergeCells>
  <phoneticPr fontId="13" type="noConversion"/>
  <printOptions horizontalCentered="1"/>
  <pageMargins left="0.25" right="0.25" top="0.35" bottom="0.35" header="0.5" footer="0.5"/>
  <pageSetup paperSize="8" fitToHeight="0" orientation="landscape"/>
  <headerFooter>
    <oddFooter>&amp;C&amp;9 Day05 · 전문가 피드백 양식 ·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12</vt:i4>
      </vt:variant>
    </vt:vector>
  </HeadingPairs>
  <TitlesOfParts>
    <vt:vector size="17" baseType="lpstr">
      <vt:lpstr>시작 안내</vt:lpstr>
      <vt:lpstr>작성 예시</vt:lpstr>
      <vt:lpstr>전문가 검수</vt:lpstr>
      <vt:lpstr>피드백 반영</vt:lpstr>
      <vt:lpstr>원문 근거</vt:lpstr>
      <vt:lpstr>ChangeChoices</vt:lpstr>
      <vt:lpstr>'시작 안내'!Print_Area</vt:lpstr>
      <vt:lpstr>'원문 근거'!Print_Area</vt:lpstr>
      <vt:lpstr>'작성 예시'!Print_Area</vt:lpstr>
      <vt:lpstr>'전문가 검수'!Print_Area</vt:lpstr>
      <vt:lpstr>'피드백 반영'!Print_Area</vt:lpstr>
      <vt:lpstr>'시작 안내'!Print_Titles</vt:lpstr>
      <vt:lpstr>'원문 근거'!Print_Titles</vt:lpstr>
      <vt:lpstr>'작성 예시'!Print_Titles</vt:lpstr>
      <vt:lpstr>'전문가 검수'!Print_Titles</vt:lpstr>
      <vt:lpstr>'피드백 반영'!Print_Titles</vt:lpstr>
      <vt:lpstr>ReviewChoices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도메인 전문가 피드백 기본 양식</dc:title>
  <dc:creator>Day05 교육 자료</dc:creator>
  <dc:description>교육용 가상 작성 예시와 실제 검수용 빈 양식. 자동 승인·모델 호출 없음.</dc:description>
  <cp:lastModifiedBy>현준 전</cp:lastModifiedBy>
  <dcterms:created xsi:type="dcterms:W3CDTF">2026-09-10T13:17:50Z</dcterms:created>
  <dcterms:modified xsi:type="dcterms:W3CDTF">2026-09-10T13:25:34Z</dcterms:modified>
</cp:coreProperties>
</file>